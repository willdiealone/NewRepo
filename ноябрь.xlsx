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/Desktop/"/>
    </mc:Choice>
  </mc:AlternateContent>
  <xr:revisionPtr revIDLastSave="0" documentId="13_ncr:1_{B74107EE-A566-4144-8CCF-25311138D9B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E63" i="1"/>
  <c r="D63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G63" i="1" l="1"/>
</calcChain>
</file>

<file path=xl/sharedStrings.xml><?xml version="1.0" encoding="utf-8"?>
<sst xmlns="http://schemas.openxmlformats.org/spreadsheetml/2006/main" count="188" uniqueCount="126">
  <si>
    <t>Код</t>
  </si>
  <si>
    <t>Тип</t>
  </si>
  <si>
    <t>Название</t>
  </si>
  <si>
    <t>Заказы</t>
  </si>
  <si>
    <t>Выручка</t>
  </si>
  <si>
    <t>Сумма скидки</t>
  </si>
  <si>
    <t>discount</t>
  </si>
  <si>
    <t>Подарок на 1 заказ</t>
  </si>
  <si>
    <t>300</t>
  </si>
  <si>
    <t>promocode</t>
  </si>
  <si>
    <t>Купон 300</t>
  </si>
  <si>
    <t>азуми</t>
  </si>
  <si>
    <t>Купон АЗУМИ</t>
  </si>
  <si>
    <t>сет10</t>
  </si>
  <si>
    <t>Купон СЕТ10</t>
  </si>
  <si>
    <t>1414</t>
  </si>
  <si>
    <t>Купон 1414</t>
  </si>
  <si>
    <t>150</t>
  </si>
  <si>
    <t>Купон 150</t>
  </si>
  <si>
    <t>10086</t>
  </si>
  <si>
    <t>Купон 10086</t>
  </si>
  <si>
    <t>пятница</t>
  </si>
  <si>
    <t>Купон ПЯТНИЦА</t>
  </si>
  <si>
    <t>четверг</t>
  </si>
  <si>
    <t>Купон ЧЕТВЕРГ</t>
  </si>
  <si>
    <t>среда</t>
  </si>
  <si>
    <t>Купон СРЕДА</t>
  </si>
  <si>
    <t>профавиа20</t>
  </si>
  <si>
    <t>Купон ПРОФАВИА20</t>
  </si>
  <si>
    <t>profavia10</t>
  </si>
  <si>
    <t>Купон PROFAVIA10</t>
  </si>
  <si>
    <t>боул</t>
  </si>
  <si>
    <t>Купон БОУЛ</t>
  </si>
  <si>
    <t>чикен</t>
  </si>
  <si>
    <t>Купон ЧИКЕН</t>
  </si>
  <si>
    <t>скидка10</t>
  </si>
  <si>
    <t>Купон СКИДКА10</t>
  </si>
  <si>
    <t>пицца100</t>
  </si>
  <si>
    <t>Купон ПИЦЦА100</t>
  </si>
  <si>
    <t>забота</t>
  </si>
  <si>
    <t>Купон ЗАБОТА</t>
  </si>
  <si>
    <t>димпл</t>
  </si>
  <si>
    <t>Купон ДИМПЛ</t>
  </si>
  <si>
    <t>скидка11</t>
  </si>
  <si>
    <t>Купон СКИДКА11</t>
  </si>
  <si>
    <t>салат</t>
  </si>
  <si>
    <t>Купон САЛАТ</t>
  </si>
  <si>
    <t>понедельник</t>
  </si>
  <si>
    <t>Купон ПОНЕДЕЛЬНИК</t>
  </si>
  <si>
    <t>фри</t>
  </si>
  <si>
    <t>Купон ФРИ</t>
  </si>
  <si>
    <t>сет200</t>
  </si>
  <si>
    <t>Купон СЕТ200</t>
  </si>
  <si>
    <t>set20</t>
  </si>
  <si>
    <t>Купон SET20</t>
  </si>
  <si>
    <t>роллы</t>
  </si>
  <si>
    <t>Купон РОЛЛЫ</t>
  </si>
  <si>
    <t>вторник</t>
  </si>
  <si>
    <t>Купон ВТОРНИК</t>
  </si>
  <si>
    <t>ролл100</t>
  </si>
  <si>
    <t>шашки300</t>
  </si>
  <si>
    <t>Купон ШАШКИ300</t>
  </si>
  <si>
    <t>Скидка для друга</t>
  </si>
  <si>
    <t>ppr25</t>
  </si>
  <si>
    <t>Купон PPR25</t>
  </si>
  <si>
    <t>103752</t>
  </si>
  <si>
    <t>Скидка 10-13</t>
  </si>
  <si>
    <t>307141</t>
  </si>
  <si>
    <t>Скидка 30-15</t>
  </si>
  <si>
    <t>203157</t>
  </si>
  <si>
    <t>Скидка 20-2</t>
  </si>
  <si>
    <t>1111</t>
  </si>
  <si>
    <t>Купон 1111</t>
  </si>
  <si>
    <t>207528</t>
  </si>
  <si>
    <t>Скидка 20-7</t>
  </si>
  <si>
    <t>205368</t>
  </si>
  <si>
    <t>Скидка 20-5</t>
  </si>
  <si>
    <t>107916</t>
  </si>
  <si>
    <t>Скидка 10-7</t>
  </si>
  <si>
    <t>1144</t>
  </si>
  <si>
    <t>Купон 1144</t>
  </si>
  <si>
    <t>304729</t>
  </si>
  <si>
    <t>Скидка 30-14</t>
  </si>
  <si>
    <t>207912</t>
  </si>
  <si>
    <t>rso10</t>
  </si>
  <si>
    <t>Купон RSO10</t>
  </si>
  <si>
    <t>109537</t>
  </si>
  <si>
    <t>Скидка 10-14</t>
  </si>
  <si>
    <t>2509</t>
  </si>
  <si>
    <t>Пицца Цезарь 25-1</t>
  </si>
  <si>
    <t>3518</t>
  </si>
  <si>
    <t>Креветки 3шт-1</t>
  </si>
  <si>
    <t>153549</t>
  </si>
  <si>
    <t>Скидка 15-2</t>
  </si>
  <si>
    <t>2538</t>
  </si>
  <si>
    <t>Пицца Цезарь 25-2</t>
  </si>
  <si>
    <t>296817</t>
  </si>
  <si>
    <t>Купон CyberX-2</t>
  </si>
  <si>
    <t>301547</t>
  </si>
  <si>
    <t>Скидка 30-9</t>
  </si>
  <si>
    <t>159632</t>
  </si>
  <si>
    <t>Скидка 15-5</t>
  </si>
  <si>
    <t>105876</t>
  </si>
  <si>
    <t>Скидка 10-5</t>
  </si>
  <si>
    <t>153852</t>
  </si>
  <si>
    <t>Скидка 15-1</t>
  </si>
  <si>
    <t>307491</t>
  </si>
  <si>
    <t>Скидка 30-13</t>
  </si>
  <si>
    <t>206413</t>
  </si>
  <si>
    <t>Скидка 20-6</t>
  </si>
  <si>
    <t>скидка</t>
  </si>
  <si>
    <t>Купон СКИДКА</t>
  </si>
  <si>
    <t>203691</t>
  </si>
  <si>
    <t>Скидка 20-8</t>
  </si>
  <si>
    <t>309248</t>
  </si>
  <si>
    <t>206813</t>
  </si>
  <si>
    <t>Скидка 20-1</t>
  </si>
  <si>
    <t>103764</t>
  </si>
  <si>
    <t>Скидка 10-3</t>
  </si>
  <si>
    <t>2517</t>
  </si>
  <si>
    <t>Пицца Цезарь 25-3</t>
  </si>
  <si>
    <t>2541</t>
  </si>
  <si>
    <t>Пицца Цезарь 25-4</t>
  </si>
  <si>
    <t>5713</t>
  </si>
  <si>
    <t xml:space="preserve">Купон 500-2 </t>
  </si>
  <si>
    <t>%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</si>
</sst>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3"/>
  <sheetViews>
    <sheetView tabSelected="1" zoomScale="136" workbookViewId="0">
      <pane ySplit="1" topLeftCell="A2" activePane="bottomLeft" state="frozen"/>
      <selection pane="bottomLeft" activeCell="D71" sqref="D71"/>
    </sheetView>
  </sheetViews>
  <sheetFormatPr baseColWidth="10" defaultColWidth="8.83203125" defaultRowHeight="15" x14ac:dyDescent="0.2"/>
  <cols>
    <col min="1" max="1" width="16.1640625" style="3" customWidth="1"/>
    <col min="2" max="2" width="14.5" style="3" customWidth="1"/>
    <col min="3" max="3" width="23.6640625" style="3" customWidth="1"/>
    <col min="4" max="4" width="19.1640625" style="3" customWidth="1"/>
    <col min="5" max="5" width="12.83203125" style="3" customWidth="1"/>
    <col min="6" max="6" width="17" style="3" customWidth="1"/>
    <col min="7" max="7" width="14" style="4" customWidth="1"/>
    <col min="8" max="16384" width="8.83203125" style="3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125</v>
      </c>
    </row>
    <row r="2" spans="1:8" customFormat="1" hidden="1" x14ac:dyDescent="0.2">
      <c r="B2" t="s">
        <v>6</v>
      </c>
      <c r="C2" t="s">
        <v>7</v>
      </c>
      <c r="D2" s="1">
        <v>602</v>
      </c>
      <c r="E2" s="1">
        <v>1017177</v>
      </c>
      <c r="F2" s="1">
        <v>228760</v>
      </c>
      <c r="G2" s="2">
        <f>F2/(E2+F2)</f>
        <v>0.18360478900618571</v>
      </c>
      <c r="H2" s="1"/>
    </row>
    <row r="3" spans="1:8" x14ac:dyDescent="0.2">
      <c r="A3" s="3" t="s">
        <v>8</v>
      </c>
      <c r="B3" s="3" t="s">
        <v>9</v>
      </c>
      <c r="C3" s="3" t="s">
        <v>10</v>
      </c>
      <c r="D3" s="5">
        <v>144</v>
      </c>
      <c r="E3" s="5">
        <v>274950</v>
      </c>
      <c r="F3" s="5">
        <v>43200</v>
      </c>
      <c r="G3" s="4">
        <f t="shared" ref="G3:G62" si="0">F3/(E3+F3)</f>
        <v>0.13578500707213578</v>
      </c>
    </row>
    <row r="4" spans="1:8" x14ac:dyDescent="0.2">
      <c r="A4" s="3" t="s">
        <v>11</v>
      </c>
      <c r="B4" s="3" t="s">
        <v>9</v>
      </c>
      <c r="C4" s="3" t="s">
        <v>12</v>
      </c>
      <c r="D4" s="5">
        <v>127</v>
      </c>
      <c r="E4" s="5">
        <v>220966</v>
      </c>
      <c r="F4" s="5">
        <v>34290</v>
      </c>
      <c r="G4" s="4">
        <f t="shared" si="0"/>
        <v>0.13433572570282384</v>
      </c>
    </row>
    <row r="5" spans="1:8" x14ac:dyDescent="0.2">
      <c r="A5" s="3" t="s">
        <v>13</v>
      </c>
      <c r="B5" s="3" t="s">
        <v>9</v>
      </c>
      <c r="C5" s="3" t="s">
        <v>14</v>
      </c>
      <c r="D5" s="5">
        <v>107</v>
      </c>
      <c r="E5" s="5">
        <v>163187</v>
      </c>
      <c r="F5" s="5">
        <v>15696</v>
      </c>
      <c r="G5" s="4">
        <f t="shared" si="0"/>
        <v>8.7744503390484285E-2</v>
      </c>
    </row>
    <row r="6" spans="1:8" x14ac:dyDescent="0.2">
      <c r="A6" s="3" t="s">
        <v>15</v>
      </c>
      <c r="B6" s="3" t="s">
        <v>9</v>
      </c>
      <c r="C6" s="3" t="s">
        <v>16</v>
      </c>
      <c r="D6" s="5">
        <v>55</v>
      </c>
      <c r="E6" s="5">
        <v>101006</v>
      </c>
      <c r="F6" s="5">
        <v>4540</v>
      </c>
      <c r="G6" s="4">
        <f t="shared" si="0"/>
        <v>4.301442025278078E-2</v>
      </c>
    </row>
    <row r="7" spans="1:8" x14ac:dyDescent="0.2">
      <c r="A7" s="3" t="s">
        <v>17</v>
      </c>
      <c r="B7" s="3" t="s">
        <v>9</v>
      </c>
      <c r="C7" s="3" t="s">
        <v>18</v>
      </c>
      <c r="D7" s="5">
        <v>50</v>
      </c>
      <c r="E7" s="5">
        <v>67356</v>
      </c>
      <c r="F7" s="5">
        <v>7500</v>
      </c>
      <c r="G7" s="4">
        <f t="shared" si="0"/>
        <v>0.10019236934915036</v>
      </c>
    </row>
    <row r="8" spans="1:8" customFormat="1" hidden="1" x14ac:dyDescent="0.2">
      <c r="A8" t="s">
        <v>19</v>
      </c>
      <c r="B8" t="s">
        <v>9</v>
      </c>
      <c r="C8" t="s">
        <v>20</v>
      </c>
      <c r="D8" s="1">
        <v>49</v>
      </c>
      <c r="E8" s="1">
        <v>73133</v>
      </c>
      <c r="F8" s="1">
        <v>7970</v>
      </c>
      <c r="G8" s="2">
        <f t="shared" si="0"/>
        <v>9.8270100982701003E-2</v>
      </c>
    </row>
    <row r="9" spans="1:8" x14ac:dyDescent="0.2">
      <c r="A9" s="3" t="s">
        <v>21</v>
      </c>
      <c r="B9" s="3" t="s">
        <v>9</v>
      </c>
      <c r="C9" s="3" t="s">
        <v>22</v>
      </c>
      <c r="D9" s="5">
        <v>48</v>
      </c>
      <c r="E9" s="5">
        <v>72789</v>
      </c>
      <c r="F9" s="5">
        <v>11455</v>
      </c>
      <c r="G9" s="4">
        <f t="shared" si="0"/>
        <v>0.13597407530506625</v>
      </c>
    </row>
    <row r="10" spans="1:8" customFormat="1" hidden="1" x14ac:dyDescent="0.2">
      <c r="A10" t="s">
        <v>23</v>
      </c>
      <c r="B10" t="s">
        <v>9</v>
      </c>
      <c r="C10" t="s">
        <v>24</v>
      </c>
      <c r="D10" s="1">
        <v>39</v>
      </c>
      <c r="E10" s="1">
        <v>54253</v>
      </c>
      <c r="F10" s="1">
        <v>11824</v>
      </c>
      <c r="G10" s="2">
        <f t="shared" si="0"/>
        <v>0.17894274861146844</v>
      </c>
    </row>
    <row r="11" spans="1:8" customFormat="1" hidden="1" x14ac:dyDescent="0.2">
      <c r="A11" t="s">
        <v>25</v>
      </c>
      <c r="B11" t="s">
        <v>9</v>
      </c>
      <c r="C11" t="s">
        <v>26</v>
      </c>
      <c r="D11" s="1">
        <v>35</v>
      </c>
      <c r="E11" s="1">
        <v>43865</v>
      </c>
      <c r="F11" s="1">
        <v>7347</v>
      </c>
      <c r="G11" s="2">
        <f t="shared" si="0"/>
        <v>0.14346246973365617</v>
      </c>
    </row>
    <row r="12" spans="1:8" customFormat="1" hidden="1" x14ac:dyDescent="0.2">
      <c r="A12" t="s">
        <v>27</v>
      </c>
      <c r="B12" t="s">
        <v>9</v>
      </c>
      <c r="C12" t="s">
        <v>28</v>
      </c>
      <c r="D12" s="1">
        <v>33</v>
      </c>
      <c r="E12" s="1">
        <v>53728</v>
      </c>
      <c r="F12" s="1">
        <v>12904</v>
      </c>
      <c r="G12" s="2">
        <f t="shared" si="0"/>
        <v>0.19366070356585424</v>
      </c>
    </row>
    <row r="13" spans="1:8" customFormat="1" hidden="1" x14ac:dyDescent="0.2">
      <c r="A13" t="s">
        <v>29</v>
      </c>
      <c r="B13" t="s">
        <v>9</v>
      </c>
      <c r="C13" t="s">
        <v>30</v>
      </c>
      <c r="D13" s="1">
        <v>28</v>
      </c>
      <c r="E13" s="1">
        <v>39291</v>
      </c>
      <c r="F13" s="1">
        <v>4484</v>
      </c>
      <c r="G13" s="2">
        <f t="shared" si="0"/>
        <v>0.1024328954882924</v>
      </c>
    </row>
    <row r="14" spans="1:8" x14ac:dyDescent="0.2">
      <c r="A14" s="3" t="s">
        <v>31</v>
      </c>
      <c r="B14" s="3" t="s">
        <v>9</v>
      </c>
      <c r="C14" s="3" t="s">
        <v>32</v>
      </c>
      <c r="D14" s="5">
        <v>22</v>
      </c>
      <c r="E14" s="5">
        <v>42729</v>
      </c>
      <c r="F14" s="5">
        <v>6600</v>
      </c>
      <c r="G14" s="4">
        <f t="shared" si="0"/>
        <v>0.13379553609438666</v>
      </c>
    </row>
    <row r="15" spans="1:8" x14ac:dyDescent="0.2">
      <c r="A15" s="3" t="s">
        <v>33</v>
      </c>
      <c r="B15" s="3" t="s">
        <v>9</v>
      </c>
      <c r="C15" s="3" t="s">
        <v>34</v>
      </c>
      <c r="D15" s="5">
        <v>21</v>
      </c>
      <c r="E15" s="5">
        <v>31072</v>
      </c>
      <c r="F15" s="5">
        <v>5040</v>
      </c>
      <c r="G15" s="4">
        <f t="shared" si="0"/>
        <v>0.13956579530350022</v>
      </c>
    </row>
    <row r="16" spans="1:8" x14ac:dyDescent="0.2">
      <c r="A16" s="3" t="s">
        <v>35</v>
      </c>
      <c r="B16" s="3" t="s">
        <v>9</v>
      </c>
      <c r="C16" s="3" t="s">
        <v>36</v>
      </c>
      <c r="D16" s="5">
        <v>20</v>
      </c>
      <c r="E16" s="5">
        <v>26259</v>
      </c>
      <c r="F16" s="5">
        <v>2644</v>
      </c>
      <c r="G16" s="4">
        <f t="shared" si="0"/>
        <v>9.1478393246375814E-2</v>
      </c>
    </row>
    <row r="17" spans="1:7" x14ac:dyDescent="0.2">
      <c r="A17" s="3" t="s">
        <v>37</v>
      </c>
      <c r="B17" s="3" t="s">
        <v>9</v>
      </c>
      <c r="C17" s="3" t="s">
        <v>38</v>
      </c>
      <c r="D17" s="5">
        <v>18</v>
      </c>
      <c r="E17" s="5">
        <v>33830</v>
      </c>
      <c r="F17" s="5">
        <v>7200</v>
      </c>
      <c r="G17" s="4">
        <f t="shared" si="0"/>
        <v>0.17548135510601998</v>
      </c>
    </row>
    <row r="18" spans="1:7" x14ac:dyDescent="0.2">
      <c r="A18" s="3" t="s">
        <v>39</v>
      </c>
      <c r="B18" s="3" t="s">
        <v>9</v>
      </c>
      <c r="C18" s="3" t="s">
        <v>40</v>
      </c>
      <c r="D18" s="5">
        <v>18</v>
      </c>
      <c r="E18" s="5">
        <v>22400</v>
      </c>
      <c r="F18" s="5">
        <v>3078</v>
      </c>
      <c r="G18" s="4">
        <f t="shared" si="0"/>
        <v>0.12081011068372714</v>
      </c>
    </row>
    <row r="19" spans="1:7" customFormat="1" hidden="1" x14ac:dyDescent="0.2">
      <c r="A19" t="s">
        <v>41</v>
      </c>
      <c r="B19" t="s">
        <v>9</v>
      </c>
      <c r="C19" t="s">
        <v>42</v>
      </c>
      <c r="D19" s="1">
        <v>17</v>
      </c>
      <c r="E19" s="1">
        <v>17111</v>
      </c>
      <c r="F19" s="1">
        <v>18020</v>
      </c>
      <c r="G19" s="2">
        <f t="shared" si="0"/>
        <v>0.51293729185050241</v>
      </c>
    </row>
    <row r="20" spans="1:7" x14ac:dyDescent="0.2">
      <c r="A20" s="3" t="s">
        <v>43</v>
      </c>
      <c r="B20" s="3" t="s">
        <v>9</v>
      </c>
      <c r="C20" s="3" t="s">
        <v>44</v>
      </c>
      <c r="D20" s="5">
        <v>13</v>
      </c>
      <c r="E20" s="5">
        <v>16466</v>
      </c>
      <c r="F20" s="5">
        <v>2147</v>
      </c>
      <c r="G20" s="4">
        <f t="shared" si="0"/>
        <v>0.11534948691774566</v>
      </c>
    </row>
    <row r="21" spans="1:7" x14ac:dyDescent="0.2">
      <c r="A21" s="3" t="s">
        <v>45</v>
      </c>
      <c r="B21" s="3" t="s">
        <v>9</v>
      </c>
      <c r="C21" s="3" t="s">
        <v>46</v>
      </c>
      <c r="D21" s="5">
        <v>12</v>
      </c>
      <c r="E21" s="5">
        <v>19106</v>
      </c>
      <c r="F21" s="5">
        <v>3000</v>
      </c>
      <c r="G21" s="4">
        <f t="shared" si="0"/>
        <v>0.13570976205555052</v>
      </c>
    </row>
    <row r="22" spans="1:7" customFormat="1" hidden="1" x14ac:dyDescent="0.2">
      <c r="A22" t="s">
        <v>47</v>
      </c>
      <c r="B22" t="s">
        <v>9</v>
      </c>
      <c r="C22" t="s">
        <v>48</v>
      </c>
      <c r="D22" s="1">
        <v>12</v>
      </c>
      <c r="E22" s="1">
        <v>12444</v>
      </c>
      <c r="F22" s="1">
        <v>2766</v>
      </c>
      <c r="G22" s="2">
        <f t="shared" si="0"/>
        <v>0.18185404339250494</v>
      </c>
    </row>
    <row r="23" spans="1:7" x14ac:dyDescent="0.2">
      <c r="A23" s="3" t="s">
        <v>49</v>
      </c>
      <c r="B23" s="3" t="s">
        <v>9</v>
      </c>
      <c r="C23" s="3" t="s">
        <v>50</v>
      </c>
      <c r="D23" s="5">
        <v>9</v>
      </c>
      <c r="E23" s="5">
        <v>18580</v>
      </c>
      <c r="F23" s="5">
        <v>900</v>
      </c>
      <c r="G23" s="4">
        <f t="shared" si="0"/>
        <v>4.6201232032854207E-2</v>
      </c>
    </row>
    <row r="24" spans="1:7" customFormat="1" hidden="1" x14ac:dyDescent="0.2">
      <c r="A24" t="s">
        <v>51</v>
      </c>
      <c r="B24" t="s">
        <v>9</v>
      </c>
      <c r="C24" t="s">
        <v>52</v>
      </c>
      <c r="D24" s="1">
        <v>9</v>
      </c>
      <c r="E24" s="1">
        <v>13304</v>
      </c>
      <c r="F24" s="1">
        <v>7740</v>
      </c>
      <c r="G24" s="2">
        <f t="shared" si="0"/>
        <v>0.36780079832731422</v>
      </c>
    </row>
    <row r="25" spans="1:7" customFormat="1" hidden="1" x14ac:dyDescent="0.2">
      <c r="A25" t="s">
        <v>53</v>
      </c>
      <c r="B25" t="s">
        <v>9</v>
      </c>
      <c r="C25" t="s">
        <v>54</v>
      </c>
      <c r="D25" s="1">
        <v>8</v>
      </c>
      <c r="E25" s="1">
        <v>4380</v>
      </c>
      <c r="F25" s="1">
        <v>4400</v>
      </c>
      <c r="G25" s="2">
        <f>F25/(E25+F25)</f>
        <v>0.50113895216400917</v>
      </c>
    </row>
    <row r="26" spans="1:7" customFormat="1" hidden="1" x14ac:dyDescent="0.2">
      <c r="A26" t="s">
        <v>55</v>
      </c>
      <c r="B26" t="s">
        <v>9</v>
      </c>
      <c r="C26" t="s">
        <v>56</v>
      </c>
      <c r="D26" s="1">
        <v>7</v>
      </c>
      <c r="E26" s="1">
        <v>7172</v>
      </c>
      <c r="F26" s="1">
        <v>5920</v>
      </c>
      <c r="G26" s="2">
        <f t="shared" si="0"/>
        <v>0.45218454017720744</v>
      </c>
    </row>
    <row r="27" spans="1:7" customFormat="1" hidden="1" x14ac:dyDescent="0.2">
      <c r="A27" t="s">
        <v>57</v>
      </c>
      <c r="B27" t="s">
        <v>9</v>
      </c>
      <c r="C27" t="s">
        <v>58</v>
      </c>
      <c r="D27" s="1">
        <v>7</v>
      </c>
      <c r="E27" s="1">
        <v>7050</v>
      </c>
      <c r="F27" s="1">
        <v>1214</v>
      </c>
      <c r="G27" s="2">
        <f t="shared" si="0"/>
        <v>0.14690222652468538</v>
      </c>
    </row>
    <row r="28" spans="1:7" x14ac:dyDescent="0.2">
      <c r="A28" s="3" t="s">
        <v>59</v>
      </c>
      <c r="B28" s="3" t="s">
        <v>9</v>
      </c>
      <c r="C28" s="3" t="s">
        <v>38</v>
      </c>
      <c r="D28" s="5">
        <v>6</v>
      </c>
      <c r="E28" s="5">
        <v>8890</v>
      </c>
      <c r="F28" s="5">
        <v>1620</v>
      </c>
      <c r="G28" s="4">
        <f t="shared" si="0"/>
        <v>0.15413891531874405</v>
      </c>
    </row>
    <row r="29" spans="1:7" x14ac:dyDescent="0.2">
      <c r="A29" s="3" t="s">
        <v>60</v>
      </c>
      <c r="B29" s="3" t="s">
        <v>9</v>
      </c>
      <c r="C29" s="3" t="s">
        <v>61</v>
      </c>
      <c r="D29" s="5">
        <v>4</v>
      </c>
      <c r="E29" s="5">
        <v>6648</v>
      </c>
      <c r="F29" s="5">
        <v>1200</v>
      </c>
      <c r="G29" s="4">
        <f t="shared" si="0"/>
        <v>0.1529051987767584</v>
      </c>
    </row>
    <row r="30" spans="1:7" customFormat="1" hidden="1" x14ac:dyDescent="0.2">
      <c r="B30" t="s">
        <v>6</v>
      </c>
      <c r="C30" t="s">
        <v>62</v>
      </c>
      <c r="D30" s="1">
        <v>4</v>
      </c>
      <c r="E30" s="1">
        <v>4912</v>
      </c>
      <c r="F30" s="1">
        <v>868</v>
      </c>
      <c r="G30" s="2">
        <f t="shared" si="0"/>
        <v>0.15017301038062283</v>
      </c>
    </row>
    <row r="31" spans="1:7" customFormat="1" hidden="1" x14ac:dyDescent="0.2">
      <c r="A31" t="s">
        <v>63</v>
      </c>
      <c r="B31" t="s">
        <v>9</v>
      </c>
      <c r="C31" t="s">
        <v>64</v>
      </c>
      <c r="D31" s="1">
        <v>4</v>
      </c>
      <c r="E31" s="1">
        <v>740</v>
      </c>
      <c r="F31" s="1">
        <v>1200</v>
      </c>
      <c r="G31" s="2">
        <f t="shared" si="0"/>
        <v>0.61855670103092786</v>
      </c>
    </row>
    <row r="32" spans="1:7" customFormat="1" hidden="1" x14ac:dyDescent="0.2">
      <c r="A32" t="s">
        <v>65</v>
      </c>
      <c r="B32" t="s">
        <v>9</v>
      </c>
      <c r="C32" t="s">
        <v>66</v>
      </c>
      <c r="D32" s="1">
        <v>2</v>
      </c>
      <c r="E32" s="1">
        <v>3100</v>
      </c>
      <c r="F32" s="1">
        <v>377</v>
      </c>
      <c r="G32" s="2">
        <f t="shared" si="0"/>
        <v>0.1084268047167098</v>
      </c>
    </row>
    <row r="33" spans="1:7" customFormat="1" hidden="1" x14ac:dyDescent="0.2">
      <c r="A33" t="s">
        <v>67</v>
      </c>
      <c r="B33" t="s">
        <v>9</v>
      </c>
      <c r="C33" t="s">
        <v>68</v>
      </c>
      <c r="D33" s="1">
        <v>1</v>
      </c>
      <c r="E33" s="1">
        <v>4032</v>
      </c>
      <c r="F33" s="1">
        <v>1728</v>
      </c>
      <c r="G33" s="2">
        <f t="shared" si="0"/>
        <v>0.3</v>
      </c>
    </row>
    <row r="34" spans="1:7" customFormat="1" hidden="1" x14ac:dyDescent="0.2">
      <c r="A34" t="s">
        <v>69</v>
      </c>
      <c r="B34" t="s">
        <v>9</v>
      </c>
      <c r="C34" t="s">
        <v>70</v>
      </c>
      <c r="D34" s="1">
        <v>1</v>
      </c>
      <c r="E34" s="1">
        <v>2479</v>
      </c>
      <c r="F34" s="1">
        <v>662</v>
      </c>
      <c r="G34" s="2">
        <f t="shared" si="0"/>
        <v>0.2107609041706463</v>
      </c>
    </row>
    <row r="35" spans="1:7" x14ac:dyDescent="0.2">
      <c r="A35" s="3" t="s">
        <v>71</v>
      </c>
      <c r="B35" s="3" t="s">
        <v>9</v>
      </c>
      <c r="C35" s="3" t="s">
        <v>72</v>
      </c>
      <c r="D35" s="5">
        <v>1</v>
      </c>
      <c r="E35" s="5">
        <v>2356</v>
      </c>
      <c r="F35" s="5">
        <v>500</v>
      </c>
      <c r="G35" s="4">
        <f t="shared" si="0"/>
        <v>0.17507002801120447</v>
      </c>
    </row>
    <row r="36" spans="1:7" customFormat="1" hidden="1" x14ac:dyDescent="0.2">
      <c r="A36" t="s">
        <v>73</v>
      </c>
      <c r="B36" t="s">
        <v>9</v>
      </c>
      <c r="C36" t="s">
        <v>74</v>
      </c>
      <c r="D36" s="1">
        <v>1</v>
      </c>
      <c r="E36" s="1">
        <v>2153</v>
      </c>
      <c r="F36" s="1">
        <v>598</v>
      </c>
      <c r="G36" s="2">
        <f t="shared" si="0"/>
        <v>0.21737549981824791</v>
      </c>
    </row>
    <row r="37" spans="1:7" customFormat="1" hidden="1" x14ac:dyDescent="0.2">
      <c r="A37" t="s">
        <v>75</v>
      </c>
      <c r="B37" t="s">
        <v>9</v>
      </c>
      <c r="C37" t="s">
        <v>76</v>
      </c>
      <c r="D37" s="1">
        <v>1</v>
      </c>
      <c r="E37" s="1">
        <v>2019</v>
      </c>
      <c r="F37" s="1">
        <v>551</v>
      </c>
      <c r="G37" s="2">
        <f t="shared" si="0"/>
        <v>0.21439688715953306</v>
      </c>
    </row>
    <row r="38" spans="1:7" customFormat="1" hidden="1" x14ac:dyDescent="0.2">
      <c r="A38" t="s">
        <v>77</v>
      </c>
      <c r="B38" t="s">
        <v>9</v>
      </c>
      <c r="C38" t="s">
        <v>78</v>
      </c>
      <c r="D38" s="1">
        <v>1</v>
      </c>
      <c r="E38" s="1">
        <v>1890</v>
      </c>
      <c r="F38" s="1">
        <v>224</v>
      </c>
      <c r="G38" s="2">
        <f t="shared" si="0"/>
        <v>0.10596026490066225</v>
      </c>
    </row>
    <row r="39" spans="1:7" x14ac:dyDescent="0.2">
      <c r="A39" s="3" t="s">
        <v>79</v>
      </c>
      <c r="B39" s="3" t="s">
        <v>9</v>
      </c>
      <c r="C39" s="3" t="s">
        <v>80</v>
      </c>
      <c r="D39" s="5">
        <v>1</v>
      </c>
      <c r="E39" s="5">
        <v>1692</v>
      </c>
      <c r="F39" s="5">
        <v>370</v>
      </c>
      <c r="G39" s="4">
        <f t="shared" si="0"/>
        <v>0.17943743937924345</v>
      </c>
    </row>
    <row r="40" spans="1:7" customFormat="1" hidden="1" x14ac:dyDescent="0.2">
      <c r="A40" t="s">
        <v>81</v>
      </c>
      <c r="B40" t="s">
        <v>9</v>
      </c>
      <c r="C40" t="s">
        <v>82</v>
      </c>
      <c r="D40" s="1">
        <v>1</v>
      </c>
      <c r="E40" s="1">
        <v>1664</v>
      </c>
      <c r="F40" s="1">
        <v>792</v>
      </c>
      <c r="G40" s="2">
        <f t="shared" si="0"/>
        <v>0.32247557003257327</v>
      </c>
    </row>
    <row r="41" spans="1:7" customFormat="1" hidden="1" x14ac:dyDescent="0.2">
      <c r="A41" t="s">
        <v>83</v>
      </c>
      <c r="B41" t="s">
        <v>9</v>
      </c>
      <c r="C41" t="s">
        <v>70</v>
      </c>
      <c r="D41" s="1">
        <v>1</v>
      </c>
      <c r="E41" s="1">
        <v>1623</v>
      </c>
      <c r="F41" s="1">
        <v>428</v>
      </c>
      <c r="G41" s="2">
        <f t="shared" si="0"/>
        <v>0.20867869332033154</v>
      </c>
    </row>
    <row r="42" spans="1:7" customFormat="1" hidden="1" x14ac:dyDescent="0.2">
      <c r="A42" t="s">
        <v>84</v>
      </c>
      <c r="B42" t="s">
        <v>9</v>
      </c>
      <c r="C42" t="s">
        <v>85</v>
      </c>
      <c r="D42" s="1">
        <v>1</v>
      </c>
      <c r="E42" s="1">
        <v>1543</v>
      </c>
      <c r="F42" s="1">
        <v>180</v>
      </c>
      <c r="G42" s="2">
        <f t="shared" si="0"/>
        <v>0.1044689495066744</v>
      </c>
    </row>
    <row r="43" spans="1:7" customFormat="1" hidden="1" x14ac:dyDescent="0.2">
      <c r="A43" t="s">
        <v>86</v>
      </c>
      <c r="B43" t="s">
        <v>9</v>
      </c>
      <c r="C43" t="s">
        <v>87</v>
      </c>
      <c r="D43" s="1">
        <v>1</v>
      </c>
      <c r="E43" s="1">
        <v>1499</v>
      </c>
      <c r="F43" s="1">
        <v>185</v>
      </c>
      <c r="G43" s="2">
        <f t="shared" si="0"/>
        <v>0.10985748218527316</v>
      </c>
    </row>
    <row r="44" spans="1:7" customFormat="1" hidden="1" x14ac:dyDescent="0.2">
      <c r="A44" t="s">
        <v>88</v>
      </c>
      <c r="B44" t="s">
        <v>9</v>
      </c>
      <c r="C44" t="s">
        <v>89</v>
      </c>
      <c r="D44" s="1">
        <v>1</v>
      </c>
      <c r="E44" s="1">
        <v>1350</v>
      </c>
      <c r="F44" s="1">
        <v>500</v>
      </c>
      <c r="G44" s="2">
        <f t="shared" si="0"/>
        <v>0.27027027027027029</v>
      </c>
    </row>
    <row r="45" spans="1:7" customFormat="1" hidden="1" x14ac:dyDescent="0.2">
      <c r="A45" t="s">
        <v>90</v>
      </c>
      <c r="B45" t="s">
        <v>9</v>
      </c>
      <c r="C45" t="s">
        <v>91</v>
      </c>
      <c r="D45" s="1">
        <v>1</v>
      </c>
      <c r="E45" s="1">
        <v>1170</v>
      </c>
      <c r="F45" s="1">
        <v>185</v>
      </c>
      <c r="G45" s="2">
        <f t="shared" si="0"/>
        <v>0.13653136531365315</v>
      </c>
    </row>
    <row r="46" spans="1:7" customFormat="1" hidden="1" x14ac:dyDescent="0.2">
      <c r="A46" t="s">
        <v>92</v>
      </c>
      <c r="B46" t="s">
        <v>9</v>
      </c>
      <c r="C46" t="s">
        <v>93</v>
      </c>
      <c r="D46" s="1">
        <v>1</v>
      </c>
      <c r="E46" s="1">
        <v>1125</v>
      </c>
      <c r="F46" s="1">
        <v>221</v>
      </c>
      <c r="G46" s="2">
        <f t="shared" si="0"/>
        <v>0.16419019316493313</v>
      </c>
    </row>
    <row r="47" spans="1:7" customFormat="1" hidden="1" x14ac:dyDescent="0.2">
      <c r="A47" t="s">
        <v>94</v>
      </c>
      <c r="B47" t="s">
        <v>9</v>
      </c>
      <c r="C47" t="s">
        <v>95</v>
      </c>
      <c r="D47" s="1">
        <v>1</v>
      </c>
      <c r="E47" s="1">
        <v>1080</v>
      </c>
      <c r="F47" s="1">
        <v>500</v>
      </c>
      <c r="G47" s="2">
        <f t="shared" si="0"/>
        <v>0.31645569620253167</v>
      </c>
    </row>
    <row r="48" spans="1:7" customFormat="1" hidden="1" x14ac:dyDescent="0.2">
      <c r="A48" t="s">
        <v>96</v>
      </c>
      <c r="B48" t="s">
        <v>9</v>
      </c>
      <c r="C48" t="s">
        <v>97</v>
      </c>
      <c r="D48" s="1">
        <v>1</v>
      </c>
      <c r="E48" s="1">
        <v>1050</v>
      </c>
      <c r="F48" s="1">
        <v>500</v>
      </c>
      <c r="G48" s="2">
        <f t="shared" si="0"/>
        <v>0.32258064516129031</v>
      </c>
    </row>
    <row r="49" spans="1:7" customFormat="1" hidden="1" x14ac:dyDescent="0.2">
      <c r="A49" t="s">
        <v>98</v>
      </c>
      <c r="B49" t="s">
        <v>9</v>
      </c>
      <c r="C49" t="s">
        <v>99</v>
      </c>
      <c r="D49" s="1">
        <v>1</v>
      </c>
      <c r="E49" s="1">
        <v>1036</v>
      </c>
      <c r="F49" s="1">
        <v>444</v>
      </c>
      <c r="G49" s="2">
        <f t="shared" si="0"/>
        <v>0.3</v>
      </c>
    </row>
    <row r="50" spans="1:7" customFormat="1" hidden="1" x14ac:dyDescent="0.2">
      <c r="A50" t="s">
        <v>100</v>
      </c>
      <c r="B50" t="s">
        <v>9</v>
      </c>
      <c r="C50" t="s">
        <v>101</v>
      </c>
      <c r="D50" s="1">
        <v>1</v>
      </c>
      <c r="E50" s="1">
        <v>995</v>
      </c>
      <c r="F50" s="1">
        <v>195</v>
      </c>
      <c r="G50" s="2">
        <f t="shared" si="0"/>
        <v>0.1638655462184874</v>
      </c>
    </row>
    <row r="51" spans="1:7" customFormat="1" hidden="1" x14ac:dyDescent="0.2">
      <c r="A51" t="s">
        <v>102</v>
      </c>
      <c r="B51" t="s">
        <v>9</v>
      </c>
      <c r="C51" t="s">
        <v>103</v>
      </c>
      <c r="D51" s="1">
        <v>1</v>
      </c>
      <c r="E51" s="1">
        <v>967</v>
      </c>
      <c r="F51" s="1">
        <v>108</v>
      </c>
      <c r="G51" s="2">
        <f t="shared" si="0"/>
        <v>0.10046511627906977</v>
      </c>
    </row>
    <row r="52" spans="1:7" customFormat="1" hidden="1" x14ac:dyDescent="0.2">
      <c r="A52" t="s">
        <v>104</v>
      </c>
      <c r="B52" t="s">
        <v>9</v>
      </c>
      <c r="C52" t="s">
        <v>105</v>
      </c>
      <c r="D52" s="1">
        <v>1</v>
      </c>
      <c r="E52" s="1">
        <v>949</v>
      </c>
      <c r="F52" s="1">
        <v>186</v>
      </c>
      <c r="G52" s="2">
        <f t="shared" si="0"/>
        <v>0.16387665198237886</v>
      </c>
    </row>
    <row r="53" spans="1:7" customFormat="1" hidden="1" x14ac:dyDescent="0.2">
      <c r="A53" t="s">
        <v>106</v>
      </c>
      <c r="B53" t="s">
        <v>9</v>
      </c>
      <c r="C53" t="s">
        <v>107</v>
      </c>
      <c r="D53" s="1">
        <v>1</v>
      </c>
      <c r="E53" s="1">
        <v>893</v>
      </c>
      <c r="F53" s="1">
        <v>405</v>
      </c>
      <c r="G53" s="2">
        <f t="shared" si="0"/>
        <v>0.3120184899845917</v>
      </c>
    </row>
    <row r="54" spans="1:7" customFormat="1" hidden="1" x14ac:dyDescent="0.2">
      <c r="A54" t="s">
        <v>108</v>
      </c>
      <c r="B54" t="s">
        <v>9</v>
      </c>
      <c r="C54" t="s">
        <v>109</v>
      </c>
      <c r="D54" s="1">
        <v>1</v>
      </c>
      <c r="E54" s="1">
        <v>857</v>
      </c>
      <c r="F54" s="1">
        <v>238</v>
      </c>
      <c r="G54" s="2">
        <f t="shared" si="0"/>
        <v>0.21735159817351599</v>
      </c>
    </row>
    <row r="55" spans="1:7" x14ac:dyDescent="0.2">
      <c r="A55" s="3" t="s">
        <v>110</v>
      </c>
      <c r="B55" s="3" t="s">
        <v>9</v>
      </c>
      <c r="C55" s="3" t="s">
        <v>111</v>
      </c>
      <c r="D55" s="5">
        <v>1</v>
      </c>
      <c r="E55" s="5">
        <v>803</v>
      </c>
      <c r="F55" s="5">
        <v>158</v>
      </c>
      <c r="G55" s="4">
        <f t="shared" si="0"/>
        <v>0.16441207075962538</v>
      </c>
    </row>
    <row r="56" spans="1:7" customFormat="1" hidden="1" x14ac:dyDescent="0.2">
      <c r="A56" t="s">
        <v>112</v>
      </c>
      <c r="B56" t="s">
        <v>9</v>
      </c>
      <c r="C56" t="s">
        <v>113</v>
      </c>
      <c r="D56" s="1">
        <v>1</v>
      </c>
      <c r="E56" s="1">
        <v>756</v>
      </c>
      <c r="F56" s="1">
        <v>210</v>
      </c>
      <c r="G56" s="2">
        <f t="shared" si="0"/>
        <v>0.21739130434782608</v>
      </c>
    </row>
    <row r="57" spans="1:7" customFormat="1" hidden="1" x14ac:dyDescent="0.2">
      <c r="A57" t="s">
        <v>114</v>
      </c>
      <c r="B57" t="s">
        <v>9</v>
      </c>
      <c r="C57" t="s">
        <v>99</v>
      </c>
      <c r="D57" s="1">
        <v>1</v>
      </c>
      <c r="E57" s="1">
        <v>725</v>
      </c>
      <c r="F57" s="1">
        <v>345</v>
      </c>
      <c r="G57" s="2">
        <f t="shared" si="0"/>
        <v>0.32242990654205606</v>
      </c>
    </row>
    <row r="58" spans="1:7" customFormat="1" hidden="1" x14ac:dyDescent="0.2">
      <c r="A58" t="s">
        <v>115</v>
      </c>
      <c r="B58" t="s">
        <v>9</v>
      </c>
      <c r="C58" t="s">
        <v>116</v>
      </c>
      <c r="D58" s="1">
        <v>1</v>
      </c>
      <c r="E58" s="1">
        <v>720</v>
      </c>
      <c r="F58" s="1">
        <v>200</v>
      </c>
      <c r="G58" s="2">
        <f t="shared" si="0"/>
        <v>0.21739130434782608</v>
      </c>
    </row>
    <row r="59" spans="1:7" customFormat="1" hidden="1" x14ac:dyDescent="0.2">
      <c r="A59" t="s">
        <v>117</v>
      </c>
      <c r="B59" t="s">
        <v>9</v>
      </c>
      <c r="C59" t="s">
        <v>118</v>
      </c>
      <c r="D59" s="1">
        <v>1</v>
      </c>
      <c r="E59" s="1">
        <v>717</v>
      </c>
      <c r="F59" s="1">
        <v>89</v>
      </c>
      <c r="G59" s="2">
        <f t="shared" si="0"/>
        <v>0.11042183622828784</v>
      </c>
    </row>
    <row r="60" spans="1:7" customFormat="1" hidden="1" x14ac:dyDescent="0.2">
      <c r="A60" t="s">
        <v>119</v>
      </c>
      <c r="B60" t="s">
        <v>9</v>
      </c>
      <c r="C60" t="s">
        <v>120</v>
      </c>
      <c r="D60" s="1">
        <v>1</v>
      </c>
      <c r="E60" s="1">
        <v>603</v>
      </c>
      <c r="F60" s="1">
        <v>500</v>
      </c>
      <c r="G60" s="2">
        <f t="shared" si="0"/>
        <v>0.45330915684496825</v>
      </c>
    </row>
    <row r="61" spans="1:7" customFormat="1" hidden="1" x14ac:dyDescent="0.2">
      <c r="A61" t="s">
        <v>121</v>
      </c>
      <c r="B61" t="s">
        <v>9</v>
      </c>
      <c r="C61" t="s">
        <v>122</v>
      </c>
      <c r="D61" s="1">
        <v>1</v>
      </c>
      <c r="E61" s="1">
        <v>567</v>
      </c>
      <c r="F61" s="1">
        <v>500</v>
      </c>
      <c r="G61" s="2">
        <f t="shared" si="0"/>
        <v>0.46860356138706655</v>
      </c>
    </row>
    <row r="62" spans="1:7" customFormat="1" hidden="1" x14ac:dyDescent="0.2">
      <c r="A62" t="s">
        <v>123</v>
      </c>
      <c r="B62" t="s">
        <v>9</v>
      </c>
      <c r="C62" t="s">
        <v>124</v>
      </c>
      <c r="D62" s="1">
        <v>1</v>
      </c>
      <c r="E62" s="1">
        <v>560</v>
      </c>
      <c r="F62" s="1">
        <v>500</v>
      </c>
      <c r="G62" s="2">
        <f t="shared" si="0"/>
        <v>0.47169811320754718</v>
      </c>
    </row>
    <row r="63" spans="1:7" x14ac:dyDescent="0.2">
      <c r="D63" s="3">
        <f>SUBTOTAL(9,D3:D55)</f>
        <v>677</v>
      </c>
      <c r="E63" s="3">
        <f>SUBTOTAL(9,E3:E55)</f>
        <v>1131085</v>
      </c>
      <c r="F63" s="3">
        <f>SUBTOTAL(9,F2:F55)</f>
        <v>151138</v>
      </c>
      <c r="G63" s="4">
        <f>F63/E63</f>
        <v>0.1336221415720304</v>
      </c>
    </row>
  </sheetData>
  <autoFilter ref="A1:F62" xr:uid="{00000000-0009-0000-0000-000000000000}">
    <filterColumn colId="2">
      <filters>
        <filter val="Купон 1111"/>
        <filter val="Купон 1144"/>
        <filter val="Купон 1414"/>
        <filter val="Купон 150"/>
        <filter val="Купон 300"/>
        <filter val="Купон АЗУМИ"/>
        <filter val="Купон БОУЛ"/>
        <filter val="Купон ЗАБОТА"/>
        <filter val="Купон ПИЦЦА100"/>
        <filter val="Купон ПЯТНИЦА"/>
        <filter val="Купон САЛАТ"/>
        <filter val="Купон СЕТ10"/>
        <filter val="Купон СКИДКА"/>
        <filter val="Купон СКИДКА10"/>
        <filter val="Купон СКИДКА11"/>
        <filter val="Купон ФРИ"/>
        <filter val="Купон ЧИКЕН"/>
        <filter val="Купон ШАШКИ3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Дэннис Арабалеев</cp:lastModifiedBy>
  <dcterms:created xsi:type="dcterms:W3CDTF">2025-12-10T07:20:15Z</dcterms:created>
  <dcterms:modified xsi:type="dcterms:W3CDTF">2025-12-11T06:56:23Z</dcterms:modified>
</cp:coreProperties>
</file>